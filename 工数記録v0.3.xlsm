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suke_hirano\source\repos\hirano-aero\ManHourRecordMacro\"/>
    </mc:Choice>
  </mc:AlternateContent>
  <xr:revisionPtr revIDLastSave="0" documentId="13_ncr:1_{F63CA70F-847B-4BBE-890B-DAC5642E4D8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実績入力シート" sheetId="6" r:id="rId1"/>
    <sheet name="項目分類表" sheetId="12" r:id="rId2"/>
    <sheet name="入力規則リスト" sheetId="7" r:id="rId3"/>
    <sheet name="設定" sheetId="13" r:id="rId4"/>
  </sheets>
  <definedNames>
    <definedName name="_xlnm.Print_Area" localSheetId="0">実績入力シート!$A$1:$H$30</definedName>
    <definedName name="システム">項目分類表!$J$33:$J$34</definedName>
    <definedName name="会議">項目分類表!$C$33:$C$34</definedName>
    <definedName name="外注管理">項目分類表!$I$33:$I$34</definedName>
    <definedName name="監査対応">項目分類表!$D$33:$D$34</definedName>
    <definedName name="教育">項目分類表!$F$33:$F$35</definedName>
    <definedName name="現場対応">項目分類表!$L$3</definedName>
    <definedName name="事務処理">項目分類表!$K$33</definedName>
    <definedName name="生産管理">項目分類表!$H$33:$H$34</definedName>
    <definedName name="生産技術">項目分類表!$G$33:$G$35</definedName>
    <definedName name="他部署支援">項目分類表!$M$3</definedName>
    <definedName name="大分類">項目分類表!$C$32:$K$32</definedName>
    <definedName name="標準化">項目分類表!$E$33:$E$34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/>
  <c r="C3" i="6" s="1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7" i="6"/>
</calcChain>
</file>

<file path=xl/sharedStrings.xml><?xml version="1.0" encoding="utf-8"?>
<sst xmlns="http://schemas.openxmlformats.org/spreadsheetml/2006/main" count="265" uniqueCount="90">
  <si>
    <t>特記事項</t>
    <rPh sb="0" eb="2">
      <t>トッキ</t>
    </rPh>
    <rPh sb="2" eb="4">
      <t>ジコウ</t>
    </rPh>
    <phoneticPr fontId="4"/>
  </si>
  <si>
    <t>時間</t>
    <rPh sb="0" eb="2">
      <t>ジカン</t>
    </rPh>
    <phoneticPr fontId="4"/>
  </si>
  <si>
    <t>標準化</t>
  </si>
  <si>
    <t>分類</t>
    <rPh sb="0" eb="2">
      <t>ブンルイ</t>
    </rPh>
    <phoneticPr fontId="4"/>
  </si>
  <si>
    <t>中</t>
    <rPh sb="0" eb="1">
      <t>ナカ</t>
    </rPh>
    <phoneticPr fontId="4"/>
  </si>
  <si>
    <t>工数記録</t>
    <rPh sb="0" eb="2">
      <t>コウスウ</t>
    </rPh>
    <rPh sb="2" eb="4">
      <t>キロク</t>
    </rPh>
    <phoneticPr fontId="4"/>
  </si>
  <si>
    <t>勤務時間</t>
    <rPh sb="0" eb="2">
      <t>キンム</t>
    </rPh>
    <rPh sb="2" eb="4">
      <t>ジカン</t>
    </rPh>
    <phoneticPr fontId="4"/>
  </si>
  <si>
    <t>終業</t>
    <rPh sb="0" eb="2">
      <t>シュウギョウ</t>
    </rPh>
    <phoneticPr fontId="4"/>
  </si>
  <si>
    <t>DET</t>
    <phoneticPr fontId="4"/>
  </si>
  <si>
    <t>勤務</t>
    <rPh sb="0" eb="2">
      <t>キンム</t>
    </rPh>
    <phoneticPr fontId="4"/>
  </si>
  <si>
    <t>有休</t>
  </si>
  <si>
    <t>工数合計</t>
    <rPh sb="0" eb="4">
      <t>コウスウゴウケイ</t>
    </rPh>
    <phoneticPr fontId="4"/>
  </si>
  <si>
    <t>作業No *</t>
    <rPh sb="0" eb="2">
      <t>サギョウ</t>
    </rPh>
    <phoneticPr fontId="4"/>
  </si>
  <si>
    <t>大 *</t>
    <rPh sb="0" eb="1">
      <t>ダイ</t>
    </rPh>
    <phoneticPr fontId="4"/>
  </si>
  <si>
    <t>工数 *</t>
    <rPh sb="0" eb="2">
      <t>コウスウ</t>
    </rPh>
    <phoneticPr fontId="4"/>
  </si>
  <si>
    <t>日付 *</t>
    <rPh sb="0" eb="2">
      <t>ヒヅケ</t>
    </rPh>
    <phoneticPr fontId="4"/>
  </si>
  <si>
    <t>社員No *</t>
    <rPh sb="0" eb="2">
      <t>シャイン</t>
    </rPh>
    <phoneticPr fontId="4"/>
  </si>
  <si>
    <t>所属 *</t>
    <rPh sb="0" eb="2">
      <t>ショゾク</t>
    </rPh>
    <phoneticPr fontId="4"/>
  </si>
  <si>
    <t>*印は必須項目</t>
    <rPh sb="1" eb="2">
      <t>シルシ</t>
    </rPh>
    <rPh sb="3" eb="7">
      <t>ヒッスコウモク</t>
    </rPh>
    <phoneticPr fontId="4"/>
  </si>
  <si>
    <t>AM有</t>
  </si>
  <si>
    <t>PM有</t>
  </si>
  <si>
    <t>振休</t>
  </si>
  <si>
    <t>振出</t>
  </si>
  <si>
    <t>休出</t>
  </si>
  <si>
    <t>欠勤</t>
  </si>
  <si>
    <t>特休有給</t>
  </si>
  <si>
    <t>特休無給</t>
  </si>
  <si>
    <t>勤務区分</t>
    <rPh sb="0" eb="2">
      <t>キンム</t>
    </rPh>
    <rPh sb="2" eb="4">
      <t>クブン</t>
    </rPh>
    <phoneticPr fontId="6"/>
  </si>
  <si>
    <t>生産管理部</t>
  </si>
  <si>
    <t>名前</t>
    <rPh sb="0" eb="2">
      <t>ナマエ</t>
    </rPh>
    <phoneticPr fontId="4"/>
  </si>
  <si>
    <t>生産技術</t>
  </si>
  <si>
    <t>遅刻</t>
    <rPh sb="0" eb="2">
      <t>チコク</t>
    </rPh>
    <phoneticPr fontId="4"/>
  </si>
  <si>
    <t>早退</t>
    <rPh sb="0" eb="2">
      <t>ソウタイ</t>
    </rPh>
    <phoneticPr fontId="4"/>
  </si>
  <si>
    <t>実績工程 *</t>
    <rPh sb="0" eb="4">
      <t>ジッセキコウテイ</t>
    </rPh>
    <phoneticPr fontId="4"/>
  </si>
  <si>
    <t>検討</t>
  </si>
  <si>
    <t>設計</t>
  </si>
  <si>
    <t>CAD</t>
  </si>
  <si>
    <t>NC</t>
  </si>
  <si>
    <t>仕上</t>
  </si>
  <si>
    <t>検査</t>
  </si>
  <si>
    <t>生管</t>
  </si>
  <si>
    <t>特殊作業</t>
  </si>
  <si>
    <t>板金</t>
  </si>
  <si>
    <t>実績工程</t>
    <phoneticPr fontId="4"/>
  </si>
  <si>
    <t>シリアルナンバー</t>
    <phoneticPr fontId="4"/>
  </si>
  <si>
    <t>値</t>
    <rPh sb="0" eb="1">
      <t>アタイ</t>
    </rPh>
    <phoneticPr fontId="4"/>
  </si>
  <si>
    <t>項目</t>
    <rPh sb="0" eb="2">
      <t>コウモク</t>
    </rPh>
    <phoneticPr fontId="4"/>
  </si>
  <si>
    <t>項目分類表</t>
  </si>
  <si>
    <t>大分類</t>
  </si>
  <si>
    <t>会議</t>
  </si>
  <si>
    <t>監査対応</t>
  </si>
  <si>
    <t>教育</t>
  </si>
  <si>
    <t>生産管理</t>
  </si>
  <si>
    <t>外注管理</t>
  </si>
  <si>
    <t>システム</t>
  </si>
  <si>
    <t>事務処理</t>
  </si>
  <si>
    <t>現場対応</t>
  </si>
  <si>
    <t>他部署支援</t>
  </si>
  <si>
    <t>その他</t>
  </si>
  <si>
    <t>中分類</t>
  </si>
  <si>
    <t>社内</t>
  </si>
  <si>
    <t>内部監査</t>
  </si>
  <si>
    <t>社内標準</t>
  </si>
  <si>
    <t>講師</t>
  </si>
  <si>
    <t>見積</t>
  </si>
  <si>
    <t>進捗管理</t>
  </si>
  <si>
    <t>見積照会</t>
  </si>
  <si>
    <t>開発</t>
  </si>
  <si>
    <t>プラン</t>
  </si>
  <si>
    <t>社外</t>
  </si>
  <si>
    <t>外部監査</t>
  </si>
  <si>
    <t>ISO</t>
  </si>
  <si>
    <t>受講者</t>
  </si>
  <si>
    <t>生産技術(既存)</t>
  </si>
  <si>
    <t>発注</t>
  </si>
  <si>
    <t>評価</t>
  </si>
  <si>
    <t>トラブル対応</t>
  </si>
  <si>
    <t>プロジェクト</t>
  </si>
  <si>
    <t>展示会</t>
  </si>
  <si>
    <t>生産技術(開発)</t>
  </si>
  <si>
    <t>購買管理</t>
  </si>
  <si>
    <t>総務部</t>
  </si>
  <si>
    <t>営業部</t>
  </si>
  <si>
    <t>設計部</t>
  </si>
  <si>
    <t>品証部</t>
  </si>
  <si>
    <t>工作部工機1</t>
  </si>
  <si>
    <t>工作部工機2</t>
  </si>
  <si>
    <t>社員 一郎</t>
    <rPh sb="0" eb="2">
      <t>シャイン</t>
    </rPh>
    <rPh sb="3" eb="5">
      <t>イチロウ</t>
    </rPh>
    <phoneticPr fontId="4"/>
  </si>
  <si>
    <t>{D52D44CC-4DE0-45B9-AAFE-15A3C4138E33}</t>
    <phoneticPr fontId="4"/>
  </si>
  <si>
    <t>始業</t>
    <rPh sb="0" eb="2">
      <t>シギョウ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</si>
</sst>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yyyy/m/d\(aaa\)"/>
    <numFmt numFmtId="178" formatCode="[h]:mm;;"/>
    <numFmt numFmtId="179" formatCode="0_);[Red]\(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游ゴシック Medium"/>
      <family val="3"/>
      <charset val="128"/>
    </font>
    <font>
      <b/>
      <sz val="11"/>
      <color theme="0"/>
      <name val="游ゴシック Medium"/>
      <family val="3"/>
      <charset val="128"/>
    </font>
    <font>
      <sz val="11"/>
      <color rgb="FF0000FF"/>
      <name val="游ゴシック Medium"/>
      <family val="3"/>
      <charset val="128"/>
    </font>
    <font>
      <sz val="11"/>
      <color rgb="FF00B050"/>
      <name val="游ゴシック Medium"/>
      <family val="3"/>
      <charset val="128"/>
    </font>
    <font>
      <b/>
      <sz val="11"/>
      <color theme="3" tint="0.39997558519241921"/>
      <name val="游ゴシック Medium"/>
      <family val="3"/>
      <charset val="128"/>
    </font>
    <font>
      <sz val="14"/>
      <name val="游ゴシック Medium"/>
      <family val="3"/>
      <charset val="128"/>
    </font>
    <font>
      <sz val="18"/>
      <color rgb="FF006600"/>
      <name val="游ゴシック Medium"/>
      <family val="3"/>
      <charset val="128"/>
    </font>
    <font>
      <sz val="14"/>
      <color rgb="FF006600"/>
      <name val="游ゴシック Medium"/>
      <family val="3"/>
      <charset val="128"/>
    </font>
    <font>
      <sz val="12"/>
      <color rgb="FF000000"/>
      <name val="ＭＳ Ｐゴシック"/>
      <family val="3"/>
      <charset val="128"/>
    </font>
    <font>
      <sz val="16"/>
      <color theme="1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theme="8" tint="0.79998168889431442"/>
      </patternFill>
    </fill>
  </fills>
  <borders count="18">
    <border>
      <left/>
      <right/>
      <top/>
      <bottom/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4506668294322"/>
      </left>
      <right/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/>
      <diagonal/>
    </border>
    <border>
      <left style="thin">
        <color theme="8" tint="0.39991454817346722"/>
      </left>
      <right style="thin">
        <color theme="8" tint="0.39991454817346722"/>
      </right>
      <top/>
      <bottom style="thin">
        <color theme="8" tint="0.39991454817346722"/>
      </bottom>
      <diagonal/>
    </border>
    <border>
      <left style="thin">
        <color theme="8" tint="0.39988402966399123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 style="thin">
        <color theme="8" tint="0.39988402966399123"/>
      </left>
      <right/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91454817346722"/>
      </right>
      <top style="thin">
        <color theme="8" tint="0.39988402966399123"/>
      </top>
      <bottom style="thin">
        <color theme="8" tint="0.39988402966399123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37">
    <xf numFmtId="0" fontId="0" fillId="0" borderId="0" xfId="0"/>
    <xf numFmtId="0" fontId="7" fillId="0" borderId="0" xfId="0" applyFont="1"/>
    <xf numFmtId="0" fontId="10" fillId="0" borderId="0" xfId="0" applyFont="1"/>
    <xf numFmtId="176" fontId="11" fillId="5" borderId="7" xfId="0" applyNumberFormat="1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177" fontId="12" fillId="0" borderId="1" xfId="0" applyNumberFormat="1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178" fontId="14" fillId="0" borderId="3" xfId="0" quotePrefix="1" applyNumberFormat="1" applyFont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20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3" fillId="0" borderId="0" xfId="2">
      <alignment vertical="center"/>
    </xf>
    <xf numFmtId="177" fontId="12" fillId="7" borderId="14" xfId="0" applyNumberFormat="1" applyFont="1" applyFill="1" applyBorder="1" applyAlignment="1" applyProtection="1">
      <alignment horizontal="center" vertical="center"/>
      <protection locked="0"/>
    </xf>
    <xf numFmtId="20" fontId="12" fillId="6" borderId="14" xfId="0" applyNumberFormat="1" applyFont="1" applyFill="1" applyBorder="1" applyAlignment="1" applyProtection="1">
      <alignment horizontal="center" vertical="center"/>
      <protection locked="0"/>
    </xf>
    <xf numFmtId="20" fontId="14" fillId="0" borderId="14" xfId="0" applyNumberFormat="1" applyFont="1" applyBorder="1" applyAlignment="1">
      <alignment horizontal="center" vertical="center"/>
    </xf>
    <xf numFmtId="0" fontId="2" fillId="0" borderId="0" xfId="2" applyFo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1" fillId="0" borderId="0" xfId="2" applyFont="1">
      <alignment vertical="center"/>
    </xf>
    <xf numFmtId="0" fontId="16" fillId="0" borderId="0" xfId="0" applyFont="1"/>
    <xf numFmtId="0" fontId="8" fillId="4" borderId="14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79" fontId="12" fillId="6" borderId="15" xfId="0" applyNumberFormat="1" applyFont="1" applyFill="1" applyBorder="1" applyAlignment="1" applyProtection="1">
      <alignment horizontal="center" vertical="center"/>
      <protection locked="0"/>
    </xf>
    <xf numFmtId="179" fontId="12" fillId="6" borderId="16" xfId="0" applyNumberFormat="1" applyFont="1" applyFill="1" applyBorder="1" applyAlignment="1" applyProtection="1">
      <alignment horizontal="center" vertical="center"/>
      <protection locked="0"/>
    </xf>
    <xf numFmtId="20" fontId="12" fillId="6" borderId="15" xfId="0" applyNumberFormat="1" applyFont="1" applyFill="1" applyBorder="1" applyAlignment="1" applyProtection="1">
      <alignment horizontal="center" vertical="center"/>
      <protection locked="0"/>
    </xf>
    <xf numFmtId="20" fontId="12" fillId="6" borderId="17" xfId="0" applyNumberFormat="1" applyFont="1" applyFill="1" applyBorder="1" applyAlignment="1" applyProtection="1">
      <alignment horizontal="center" vertical="center"/>
      <protection locked="0"/>
    </xf>
    <xf numFmtId="20" fontId="14" fillId="0" borderId="15" xfId="0" applyNumberFormat="1" applyFont="1" applyBorder="1" applyAlignment="1">
      <alignment horizontal="center" vertical="center"/>
    </xf>
    <xf numFmtId="20" fontId="14" fillId="0" borderId="17" xfId="0" applyNumberFormat="1" applyFont="1" applyBorder="1" applyAlignment="1">
      <alignment horizontal="center" vertical="center"/>
    </xf>
  </cellXfs>
  <cellStyles count="3">
    <cellStyle name="標準" xfId="0" builtinId="0"/>
    <cellStyle name="標準 2" xfId="1" xr:uid="{00000000-0005-0000-0000-000001000000}"/>
    <cellStyle name="標準 2 2" xfId="2" xr:uid="{00000000-0005-0000-0000-000002000000}"/>
  </cellStyles>
  <dxfs count="2"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</dxfs>
  <tableStyles count="0" defaultTableStyle="TableStyleMedium2" defaultPivotStyle="PivotStyleMedium9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28575</xdr:rowOff>
        </xdr:from>
        <xdr:to>
          <xdr:col>10</xdr:col>
          <xdr:colOff>228600</xdr:colOff>
          <xdr:row>6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180975</xdr:rowOff>
        </xdr:from>
        <xdr:to>
          <xdr:col>10</xdr:col>
          <xdr:colOff>228600</xdr:colOff>
          <xdr:row>7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133350</xdr:rowOff>
        </xdr:from>
        <xdr:to>
          <xdr:col>10</xdr:col>
          <xdr:colOff>228600</xdr:colOff>
          <xdr:row>9</xdr:row>
          <xdr:rowOff>257175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勤務" displayName="勤務" ref="A1:A12" totalsRowShown="0">
  <autoFilter ref="A1:A12" xr:uid="{00000000-0009-0000-0100-000002000000}"/>
  <tableColumns count="1">
    <tableColumn id="1" xr3:uid="{00000000-0010-0000-0100-000001000000}" name="勤務区分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400446-DF60-4127-81A4-439A2874A2B6}" name="実績工程" displayName="実績工程" ref="C1:C10" totalsRowShown="0" headerRowDxfId="1" headerRowCellStyle="標準 2 2" dataCellStyle="標準 2 2">
  <autoFilter ref="C1:C10" xr:uid="{C8400446-DF60-4127-81A4-439A2874A2B6}"/>
  <tableColumns count="1">
    <tableColumn id="1" xr3:uid="{E34323F4-065F-4DA3-9611-537C1F185039}" name="実績工程" dataCellStyle="標準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put">
    <tabColor rgb="FFFF0000"/>
    <pageSetUpPr fitToPage="1"/>
  </sheetPr>
  <dimension ref="A1:P30"/>
  <sheetViews>
    <sheetView showGridLines="0" tabSelected="1" zoomScaleNormal="100" workbookViewId="0">
      <pane ySplit="6" topLeftCell="A7" activePane="bottomLeft" state="frozen"/>
      <selection pane="bottomLeft" activeCell="C9" sqref="C9"/>
    </sheetView>
  </sheetViews>
  <sheetFormatPr defaultRowHeight="18" x14ac:dyDescent="0.35"/>
  <cols>
    <col min="1" max="1" width="20.375" style="1" customWidth="1"/>
    <col min="2" max="3" width="11.25" style="1" customWidth="1"/>
    <col min="4" max="5" width="15.5" style="1" customWidth="1"/>
    <col min="6" max="7" width="8.75" style="1" customWidth="1"/>
    <col min="8" max="8" width="34.625" style="1" customWidth="1"/>
    <col min="9" max="9" width="5.875" style="1" customWidth="1"/>
    <col min="10" max="12" width="9" style="1"/>
    <col min="13" max="13" width="9.125" style="1" customWidth="1"/>
    <col min="14" max="16384" width="9" style="1"/>
  </cols>
  <sheetData>
    <row r="1" spans="1:16" ht="24" customHeight="1" x14ac:dyDescent="0.35">
      <c r="A1" s="20" t="s">
        <v>15</v>
      </c>
      <c r="B1" s="20" t="s">
        <v>6</v>
      </c>
      <c r="C1" s="20"/>
      <c r="D1" s="20"/>
      <c r="E1" s="9" t="s">
        <v>16</v>
      </c>
      <c r="F1" s="31">
        <v>1518</v>
      </c>
      <c r="G1" s="32"/>
      <c r="H1" s="9" t="s">
        <v>11</v>
      </c>
      <c r="J1"/>
    </row>
    <row r="2" spans="1:16" ht="24" customHeight="1" x14ac:dyDescent="0.35">
      <c r="A2" s="20"/>
      <c r="B2" s="10" t="s">
        <v>89</v>
      </c>
      <c r="C2" s="11" t="s">
        <v>7</v>
      </c>
      <c r="D2" s="11" t="s">
        <v>9</v>
      </c>
      <c r="E2" s="17" t="s">
        <v>17</v>
      </c>
      <c r="F2" s="33" t="s">
        <v>83</v>
      </c>
      <c r="G2" s="34"/>
      <c r="H2" s="21">
        <f>SUM(F7:F30)</f>
        <v>0</v>
      </c>
    </row>
    <row r="3" spans="1:16" ht="24" x14ac:dyDescent="0.35">
      <c r="A3" s="13"/>
      <c r="B3" s="14">
        <v>0.33333333333333331</v>
      </c>
      <c r="C3" s="15">
        <f>B3+IF(H2&gt;4,TIME(1,0,0),0)+(H2/24)</f>
        <v>0.33333333333333331</v>
      </c>
      <c r="D3" s="14"/>
      <c r="E3" s="17" t="s">
        <v>29</v>
      </c>
      <c r="F3" s="35" t="s">
        <v>87</v>
      </c>
      <c r="G3" s="36"/>
      <c r="H3" s="22"/>
    </row>
    <row r="4" spans="1:16" ht="10.5" customHeight="1" x14ac:dyDescent="0.35">
      <c r="A4"/>
    </row>
    <row r="5" spans="1:16" ht="22.5" customHeight="1" x14ac:dyDescent="0.35">
      <c r="A5" s="23" t="s">
        <v>12</v>
      </c>
      <c r="B5" s="27" t="s">
        <v>8</v>
      </c>
      <c r="C5" s="27" t="s">
        <v>33</v>
      </c>
      <c r="D5" s="25" t="s">
        <v>3</v>
      </c>
      <c r="E5" s="26"/>
      <c r="F5" s="25" t="s">
        <v>5</v>
      </c>
      <c r="G5" s="26"/>
      <c r="H5" s="29" t="s">
        <v>0</v>
      </c>
    </row>
    <row r="6" spans="1:16" ht="22.5" customHeight="1" x14ac:dyDescent="0.35">
      <c r="A6" s="24"/>
      <c r="B6" s="28"/>
      <c r="C6" s="28"/>
      <c r="D6" s="3" t="s">
        <v>13</v>
      </c>
      <c r="E6" s="4" t="s">
        <v>4</v>
      </c>
      <c r="F6" s="3" t="s">
        <v>14</v>
      </c>
      <c r="G6" s="4" t="s">
        <v>1</v>
      </c>
      <c r="H6" s="30"/>
    </row>
    <row r="7" spans="1:16" ht="24.75" customHeight="1" x14ac:dyDescent="0.35">
      <c r="A7" s="5"/>
      <c r="B7" s="6"/>
      <c r="C7" s="6"/>
      <c r="D7" s="7"/>
      <c r="E7" s="7"/>
      <c r="F7" s="6"/>
      <c r="G7" s="8">
        <f>TIME($F7,MOD($F7*60,60),0)</f>
        <v>0</v>
      </c>
      <c r="H7" s="7"/>
    </row>
    <row r="8" spans="1:16" ht="24.75" customHeight="1" x14ac:dyDescent="0.35">
      <c r="A8" s="5"/>
      <c r="B8" s="6"/>
      <c r="C8" s="6"/>
      <c r="D8" s="7"/>
      <c r="E8" s="7"/>
      <c r="F8" s="6"/>
      <c r="G8" s="8">
        <f t="shared" ref="G8:G30" si="0">TIME($F8,MOD($F8*60,60),0)</f>
        <v>0</v>
      </c>
      <c r="H8" s="7"/>
      <c r="I8" s="2"/>
    </row>
    <row r="9" spans="1:16" ht="24.75" customHeight="1" x14ac:dyDescent="0.35">
      <c r="A9" s="5"/>
      <c r="B9" s="6"/>
      <c r="C9" s="6"/>
      <c r="D9" s="7"/>
      <c r="E9" s="7"/>
      <c r="F9" s="6"/>
      <c r="G9" s="8">
        <f t="shared" si="0"/>
        <v>0</v>
      </c>
      <c r="H9" s="7"/>
    </row>
    <row r="10" spans="1:16" ht="24.75" customHeight="1" x14ac:dyDescent="0.35">
      <c r="A10" s="5"/>
      <c r="B10" s="6"/>
      <c r="C10" s="6"/>
      <c r="D10" s="7"/>
      <c r="E10" s="7"/>
      <c r="F10" s="6"/>
      <c r="G10" s="8">
        <f t="shared" si="0"/>
        <v>0</v>
      </c>
      <c r="H10" s="7"/>
      <c r="K10"/>
      <c r="L10"/>
      <c r="M10"/>
    </row>
    <row r="11" spans="1:16" ht="24.75" customHeight="1" x14ac:dyDescent="0.35">
      <c r="A11" s="5"/>
      <c r="B11" s="6"/>
      <c r="C11" s="6"/>
      <c r="D11" s="7"/>
      <c r="E11" s="7"/>
      <c r="F11" s="6"/>
      <c r="G11" s="8">
        <f t="shared" si="0"/>
        <v>0</v>
      </c>
      <c r="H11" s="7"/>
      <c r="K11"/>
      <c r="L11"/>
      <c r="M11"/>
    </row>
    <row r="12" spans="1:16" ht="24.75" customHeight="1" x14ac:dyDescent="0.35">
      <c r="A12" s="5"/>
      <c r="B12" s="6"/>
      <c r="C12" s="6"/>
      <c r="D12" s="7"/>
      <c r="E12" s="7"/>
      <c r="F12" s="6"/>
      <c r="G12" s="8">
        <f t="shared" si="0"/>
        <v>0</v>
      </c>
      <c r="H12" s="7"/>
      <c r="J12" s="1" t="s">
        <v>18</v>
      </c>
      <c r="K12"/>
      <c r="L12"/>
      <c r="M12"/>
    </row>
    <row r="13" spans="1:16" ht="24.75" customHeight="1" x14ac:dyDescent="0.35">
      <c r="A13" s="5"/>
      <c r="B13" s="6"/>
      <c r="C13" s="6"/>
      <c r="D13" s="7"/>
      <c r="E13" s="7"/>
      <c r="F13" s="6"/>
      <c r="G13" s="8">
        <f t="shared" si="0"/>
        <v>0</v>
      </c>
      <c r="H13" s="7"/>
    </row>
    <row r="14" spans="1:16" ht="24.75" customHeight="1" x14ac:dyDescent="0.35">
      <c r="A14" s="5"/>
      <c r="B14" s="6"/>
      <c r="C14" s="6"/>
      <c r="D14" s="7"/>
      <c r="E14" s="7"/>
      <c r="F14" s="6"/>
      <c r="G14" s="8">
        <f t="shared" si="0"/>
        <v>0</v>
      </c>
      <c r="H14" s="7"/>
    </row>
    <row r="15" spans="1:16" ht="24.75" customHeight="1" x14ac:dyDescent="0.35">
      <c r="A15" s="5"/>
      <c r="B15" s="6"/>
      <c r="C15" s="6"/>
      <c r="D15" s="7"/>
      <c r="E15" s="7"/>
      <c r="F15" s="6"/>
      <c r="G15" s="8">
        <f t="shared" si="0"/>
        <v>0</v>
      </c>
      <c r="H15" s="7"/>
      <c r="O15"/>
      <c r="P15"/>
    </row>
    <row r="16" spans="1:16" ht="24.75" customHeight="1" x14ac:dyDescent="0.35">
      <c r="A16" s="5"/>
      <c r="B16" s="6"/>
      <c r="C16" s="6"/>
      <c r="D16" s="7"/>
      <c r="E16" s="7"/>
      <c r="F16" s="6"/>
      <c r="G16" s="8">
        <f t="shared" si="0"/>
        <v>0</v>
      </c>
      <c r="H16" s="7"/>
      <c r="N16"/>
      <c r="O16"/>
      <c r="P16"/>
    </row>
    <row r="17" spans="1:14" ht="24.75" customHeight="1" x14ac:dyDescent="0.35">
      <c r="A17" s="5"/>
      <c r="B17" s="6"/>
      <c r="C17" s="6"/>
      <c r="D17" s="7"/>
      <c r="E17" s="7"/>
      <c r="F17" s="6"/>
      <c r="G17" s="8">
        <f t="shared" si="0"/>
        <v>0</v>
      </c>
      <c r="H17" s="7"/>
      <c r="N17"/>
    </row>
    <row r="18" spans="1:14" ht="24.75" customHeight="1" x14ac:dyDescent="0.35">
      <c r="A18" s="5"/>
      <c r="B18" s="6"/>
      <c r="C18" s="6"/>
      <c r="D18" s="7"/>
      <c r="E18" s="7"/>
      <c r="F18" s="6"/>
      <c r="G18" s="8">
        <f t="shared" si="0"/>
        <v>0</v>
      </c>
      <c r="H18" s="7"/>
    </row>
    <row r="19" spans="1:14" ht="24.75" customHeight="1" x14ac:dyDescent="0.35">
      <c r="A19" s="5"/>
      <c r="B19" s="6"/>
      <c r="C19" s="6"/>
      <c r="D19" s="7"/>
      <c r="E19" s="7"/>
      <c r="F19" s="6"/>
      <c r="G19" s="8">
        <f t="shared" si="0"/>
        <v>0</v>
      </c>
      <c r="H19" s="7"/>
    </row>
    <row r="20" spans="1:14" ht="24.75" customHeight="1" x14ac:dyDescent="0.35">
      <c r="A20" s="5"/>
      <c r="B20" s="6"/>
      <c r="C20" s="6"/>
      <c r="D20" s="7"/>
      <c r="E20" s="7"/>
      <c r="F20" s="6"/>
      <c r="G20" s="8">
        <f t="shared" si="0"/>
        <v>0</v>
      </c>
      <c r="H20" s="7"/>
    </row>
    <row r="21" spans="1:14" ht="24.75" customHeight="1" x14ac:dyDescent="0.35">
      <c r="A21" s="5"/>
      <c r="B21" s="6"/>
      <c r="C21" s="6"/>
      <c r="D21" s="7"/>
      <c r="E21" s="7"/>
      <c r="F21" s="6"/>
      <c r="G21" s="8">
        <f t="shared" si="0"/>
        <v>0</v>
      </c>
      <c r="H21" s="7"/>
    </row>
    <row r="22" spans="1:14" ht="24.75" customHeight="1" x14ac:dyDescent="0.35">
      <c r="A22" s="5"/>
      <c r="B22" s="6"/>
      <c r="C22" s="6"/>
      <c r="D22" s="7"/>
      <c r="E22" s="7"/>
      <c r="F22" s="6"/>
      <c r="G22" s="8">
        <f t="shared" si="0"/>
        <v>0</v>
      </c>
      <c r="H22" s="7"/>
    </row>
    <row r="23" spans="1:14" ht="24.75" customHeight="1" x14ac:dyDescent="0.35">
      <c r="A23" s="5"/>
      <c r="B23" s="6"/>
      <c r="C23" s="6"/>
      <c r="D23" s="7"/>
      <c r="E23" s="7"/>
      <c r="F23" s="6"/>
      <c r="G23" s="8">
        <f t="shared" si="0"/>
        <v>0</v>
      </c>
      <c r="H23" s="7"/>
    </row>
    <row r="24" spans="1:14" ht="24.75" customHeight="1" x14ac:dyDescent="0.35">
      <c r="A24" s="5"/>
      <c r="B24" s="6"/>
      <c r="C24" s="6"/>
      <c r="D24" s="7"/>
      <c r="E24" s="7"/>
      <c r="F24" s="6"/>
      <c r="G24" s="8">
        <f t="shared" si="0"/>
        <v>0</v>
      </c>
      <c r="H24" s="7"/>
    </row>
    <row r="25" spans="1:14" ht="24.75" customHeight="1" x14ac:dyDescent="0.35">
      <c r="A25" s="5"/>
      <c r="B25" s="6"/>
      <c r="C25" s="6"/>
      <c r="D25" s="7"/>
      <c r="E25" s="7"/>
      <c r="F25" s="6"/>
      <c r="G25" s="8">
        <f t="shared" si="0"/>
        <v>0</v>
      </c>
      <c r="H25" s="7"/>
    </row>
    <row r="26" spans="1:14" ht="24.75" customHeight="1" x14ac:dyDescent="0.35">
      <c r="A26" s="5"/>
      <c r="B26" s="6"/>
      <c r="C26" s="6"/>
      <c r="D26" s="7"/>
      <c r="E26" s="7"/>
      <c r="F26" s="6"/>
      <c r="G26" s="8">
        <f t="shared" si="0"/>
        <v>0</v>
      </c>
      <c r="H26" s="7"/>
    </row>
    <row r="27" spans="1:14" ht="24.75" customHeight="1" x14ac:dyDescent="0.35">
      <c r="A27" s="5"/>
      <c r="B27" s="6"/>
      <c r="C27" s="6"/>
      <c r="D27" s="7"/>
      <c r="E27" s="7"/>
      <c r="F27" s="6"/>
      <c r="G27" s="8">
        <f t="shared" si="0"/>
        <v>0</v>
      </c>
      <c r="H27" s="7"/>
    </row>
    <row r="28" spans="1:14" ht="24.75" customHeight="1" x14ac:dyDescent="0.35">
      <c r="A28" s="5"/>
      <c r="B28" s="6"/>
      <c r="C28" s="6"/>
      <c r="D28" s="7"/>
      <c r="E28" s="7"/>
      <c r="F28" s="6"/>
      <c r="G28" s="8">
        <f t="shared" si="0"/>
        <v>0</v>
      </c>
      <c r="H28" s="7"/>
    </row>
    <row r="29" spans="1:14" ht="24.75" customHeight="1" x14ac:dyDescent="0.35">
      <c r="A29" s="5"/>
      <c r="B29" s="6"/>
      <c r="C29" s="6"/>
      <c r="D29" s="7"/>
      <c r="E29" s="7"/>
      <c r="F29" s="6"/>
      <c r="G29" s="8">
        <f t="shared" si="0"/>
        <v>0</v>
      </c>
      <c r="H29" s="7"/>
    </row>
    <row r="30" spans="1:14" ht="24.75" customHeight="1" x14ac:dyDescent="0.35">
      <c r="A30" s="5"/>
      <c r="B30" s="6"/>
      <c r="C30" s="6"/>
      <c r="D30" s="7"/>
      <c r="E30" s="7"/>
      <c r="F30" s="6"/>
      <c r="G30" s="8">
        <f t="shared" si="0"/>
        <v>0</v>
      </c>
      <c r="H30" s="7"/>
    </row>
  </sheetData>
  <sheetProtection selectLockedCells="1"/>
  <sortState xmlns:xlrd2="http://schemas.microsoft.com/office/spreadsheetml/2017/richdata2" ref="A8">
    <sortCondition ref="A7:A8"/>
  </sortState>
  <mergeCells count="12">
    <mergeCell ref="A1:A2"/>
    <mergeCell ref="H2:H3"/>
    <mergeCell ref="B1:D1"/>
    <mergeCell ref="A5:A6"/>
    <mergeCell ref="D5:E5"/>
    <mergeCell ref="F5:G5"/>
    <mergeCell ref="B5:B6"/>
    <mergeCell ref="H5:H6"/>
    <mergeCell ref="C5:C6"/>
    <mergeCell ref="F1:G1"/>
    <mergeCell ref="F2:G2"/>
    <mergeCell ref="F3:G3"/>
  </mergeCells>
  <phoneticPr fontId="4"/>
  <conditionalFormatting sqref="A7:H30">
    <cfRule type="expression" dxfId="0" priority="1">
      <formula>MOD(ROW(),2)=0</formula>
    </cfRule>
  </conditionalFormatting>
  <dataValidations count="11">
    <dataValidation imeMode="disabled" allowBlank="1" showInputMessage="1" showErrorMessage="1" sqref="H2 A7:A30 F1" xr:uid="{00000000-0002-0000-0000-000000000000}"/>
    <dataValidation imeMode="off" allowBlank="1" showInputMessage="1" showErrorMessage="1" sqref="B7:B30" xr:uid="{00000000-0002-0000-0000-000001000000}"/>
    <dataValidation type="date" imeMode="disabled" showInputMessage="1" showErrorMessage="1" sqref="A3" xr:uid="{00000000-0002-0000-0000-000002000000}">
      <formula1>44986</formula1>
      <formula2>227637</formula2>
    </dataValidation>
    <dataValidation type="time" imeMode="disabled" operator="greaterThanOrEqual" showInputMessage="1" showErrorMessage="1" sqref="B3" xr:uid="{00000000-0002-0000-0000-000003000000}">
      <formula1>0</formula1>
    </dataValidation>
    <dataValidation type="list" allowBlank="1" showInputMessage="1" showErrorMessage="1" sqref="D3" xr:uid="{00000000-0002-0000-0000-000004000000}">
      <formula1>INDIRECT("勤務")</formula1>
    </dataValidation>
    <dataValidation type="list" imeMode="disabled" allowBlank="1" showInputMessage="1" showErrorMessage="1" sqref="D7:D30" xr:uid="{00000000-0002-0000-0000-000005000000}">
      <formula1>大分類</formula1>
    </dataValidation>
    <dataValidation type="list" imeMode="disabled" allowBlank="1" showInputMessage="1" showErrorMessage="1" sqref="E7:E30" xr:uid="{00000000-0002-0000-0000-000006000000}">
      <formula1>INDIRECT($D7)</formula1>
    </dataValidation>
    <dataValidation type="decimal" imeMode="disabled" allowBlank="1" showInputMessage="1" showErrorMessage="1" sqref="F7:F30" xr:uid="{4520DD10-AAAE-434A-9409-8476154A656D}">
      <formula1>0</formula1>
      <formula2>24</formula2>
    </dataValidation>
    <dataValidation type="list" imeMode="disabled" allowBlank="1" showInputMessage="1" showErrorMessage="1" sqref="C7:C30" xr:uid="{854F3281-22A6-49C6-99E8-8BC6F2B9ACE5}">
      <formula1>INDIRECT("実績工程")</formula1>
    </dataValidation>
    <dataValidation type="list" allowBlank="1" showInputMessage="1" showErrorMessage="1" sqref="G2" xr:uid="{C56F22D4-5BE1-413D-A71F-94BA40113B33}">
      <formula1>"生産管理部,総務部"</formula1>
    </dataValidation>
    <dataValidation type="list" allowBlank="1" showInputMessage="1" showErrorMessage="1" sqref="F2" xr:uid="{A0B7E5BF-1FC0-46A2-BB4F-D8C4F6960120}">
      <formula1>"生産管理部,総務部,営業部,設計部,品証部,工作部工機1,工作部工機2"</formula1>
    </dataValidation>
  </dataValidations>
  <pageMargins left="0.25" right="0.25" top="0.75" bottom="0.75" header="0.3" footer="0.3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EntryManHour">
                <anchor moveWithCells="1">
                  <from>
                    <xdr:col>9</xdr:col>
                    <xdr:colOff>0</xdr:colOff>
                    <xdr:row>4</xdr:row>
                    <xdr:rowOff>28575</xdr:rowOff>
                  </from>
                  <to>
                    <xdr:col>10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FetchManHour">
                <anchor moveWithCells="1">
                  <from>
                    <xdr:col>9</xdr:col>
                    <xdr:colOff>0</xdr:colOff>
                    <xdr:row>6</xdr:row>
                    <xdr:rowOff>180975</xdr:rowOff>
                  </from>
                  <to>
                    <xdr:col>10</xdr:col>
                    <xdr:colOff>228600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ClearManHour">
                <anchor moveWithCells="1">
                  <from>
                    <xdr:col>9</xdr:col>
                    <xdr:colOff>0</xdr:colOff>
                    <xdr:row>8</xdr:row>
                    <xdr:rowOff>133350</xdr:rowOff>
                  </from>
                  <to>
                    <xdr:col>10</xdr:col>
                    <xdr:colOff>228600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mClassification"/>
  <dimension ref="A1:N66"/>
  <sheetViews>
    <sheetView workbookViewId="0">
      <selection activeCell="A3" sqref="A3"/>
    </sheetView>
  </sheetViews>
  <sheetFormatPr defaultRowHeight="13.5" x14ac:dyDescent="0.15"/>
  <cols>
    <col min="1" max="1" width="13.875" bestFit="1" customWidth="1"/>
    <col min="2" max="2" width="7.125" bestFit="1" customWidth="1"/>
    <col min="3" max="3" width="6" bestFit="1" customWidth="1"/>
    <col min="6" max="6" width="7.125" bestFit="1" customWidth="1"/>
    <col min="7" max="7" width="14.375" bestFit="1" customWidth="1"/>
    <col min="10" max="10" width="11.375" bestFit="1" customWidth="1"/>
    <col min="13" max="13" width="11" bestFit="1" customWidth="1"/>
    <col min="14" max="14" width="10.25" bestFit="1" customWidth="1"/>
    <col min="15" max="15" width="7.125" bestFit="1" customWidth="1"/>
  </cols>
  <sheetData>
    <row r="1" spans="1:14" x14ac:dyDescent="0.15">
      <c r="A1" t="s">
        <v>47</v>
      </c>
    </row>
    <row r="2" spans="1:14" x14ac:dyDescent="0.15">
      <c r="A2" t="s">
        <v>28</v>
      </c>
      <c r="B2" t="s">
        <v>48</v>
      </c>
      <c r="C2" t="s">
        <v>49</v>
      </c>
      <c r="D2" t="s">
        <v>50</v>
      </c>
      <c r="E2" t="s">
        <v>2</v>
      </c>
      <c r="F2" t="s">
        <v>51</v>
      </c>
      <c r="G2" t="s">
        <v>30</v>
      </c>
      <c r="H2" t="s">
        <v>52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 t="s">
        <v>58</v>
      </c>
    </row>
    <row r="3" spans="1:14" x14ac:dyDescent="0.15"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55</v>
      </c>
      <c r="L3" t="s">
        <v>56</v>
      </c>
      <c r="M3" t="s">
        <v>57</v>
      </c>
      <c r="N3" t="s">
        <v>68</v>
      </c>
    </row>
    <row r="4" spans="1:14" x14ac:dyDescent="0.15">
      <c r="C4" t="s">
        <v>69</v>
      </c>
      <c r="D4" t="s">
        <v>70</v>
      </c>
      <c r="E4" t="s">
        <v>71</v>
      </c>
      <c r="F4" t="s">
        <v>72</v>
      </c>
      <c r="G4" t="s">
        <v>73</v>
      </c>
      <c r="H4" t="s">
        <v>74</v>
      </c>
      <c r="I4" t="s">
        <v>75</v>
      </c>
      <c r="J4" t="s">
        <v>76</v>
      </c>
      <c r="N4" t="s">
        <v>77</v>
      </c>
    </row>
    <row r="5" spans="1:14" x14ac:dyDescent="0.15">
      <c r="F5" t="s">
        <v>78</v>
      </c>
      <c r="G5" t="s">
        <v>79</v>
      </c>
      <c r="N5" t="s">
        <v>80</v>
      </c>
    </row>
    <row r="12" spans="1:14" x14ac:dyDescent="0.15">
      <c r="A12" t="s">
        <v>81</v>
      </c>
      <c r="B12" t="s">
        <v>48</v>
      </c>
      <c r="C12" t="s">
        <v>49</v>
      </c>
      <c r="D12" t="s">
        <v>50</v>
      </c>
      <c r="E12" t="s">
        <v>2</v>
      </c>
      <c r="F12" t="s">
        <v>51</v>
      </c>
      <c r="G12" t="s">
        <v>30</v>
      </c>
      <c r="H12" t="s">
        <v>52</v>
      </c>
      <c r="I12" t="s">
        <v>53</v>
      </c>
      <c r="J12" t="s">
        <v>54</v>
      </c>
      <c r="K12" t="s">
        <v>55</v>
      </c>
      <c r="L12" t="s">
        <v>56</v>
      </c>
      <c r="M12" t="s">
        <v>57</v>
      </c>
    </row>
    <row r="13" spans="1:14" x14ac:dyDescent="0.15">
      <c r="B13" t="s">
        <v>59</v>
      </c>
      <c r="C13" t="s">
        <v>60</v>
      </c>
      <c r="D13" t="s">
        <v>61</v>
      </c>
      <c r="E13" t="s">
        <v>62</v>
      </c>
      <c r="F13" t="s">
        <v>63</v>
      </c>
      <c r="G13" t="s">
        <v>64</v>
      </c>
      <c r="H13" t="s">
        <v>65</v>
      </c>
      <c r="I13" t="s">
        <v>66</v>
      </c>
      <c r="J13" t="s">
        <v>67</v>
      </c>
      <c r="K13" t="s">
        <v>55</v>
      </c>
      <c r="L13" t="s">
        <v>56</v>
      </c>
      <c r="M13" t="s">
        <v>57</v>
      </c>
    </row>
    <row r="14" spans="1:14" x14ac:dyDescent="0.15">
      <c r="C14" t="s">
        <v>69</v>
      </c>
      <c r="D14" t="s">
        <v>70</v>
      </c>
      <c r="E14" t="s">
        <v>71</v>
      </c>
      <c r="F14" t="s">
        <v>72</v>
      </c>
      <c r="G14" t="s">
        <v>73</v>
      </c>
      <c r="H14" t="s">
        <v>74</v>
      </c>
      <c r="I14" t="s">
        <v>75</v>
      </c>
      <c r="J14" t="s">
        <v>76</v>
      </c>
    </row>
    <row r="15" spans="1:14" x14ac:dyDescent="0.15">
      <c r="F15" t="s">
        <v>78</v>
      </c>
      <c r="G15" t="s">
        <v>79</v>
      </c>
    </row>
    <row r="22" spans="1:12" x14ac:dyDescent="0.15">
      <c r="A22" t="s">
        <v>82</v>
      </c>
      <c r="B22" t="s">
        <v>48</v>
      </c>
      <c r="C22" t="s">
        <v>49</v>
      </c>
      <c r="D22" t="s">
        <v>50</v>
      </c>
      <c r="E22" t="s">
        <v>2</v>
      </c>
      <c r="F22" t="s">
        <v>51</v>
      </c>
      <c r="G22" t="s">
        <v>30</v>
      </c>
      <c r="H22" t="s">
        <v>52</v>
      </c>
      <c r="I22" t="s">
        <v>53</v>
      </c>
      <c r="J22" t="s">
        <v>54</v>
      </c>
      <c r="K22" t="s">
        <v>55</v>
      </c>
      <c r="L22" t="s">
        <v>56</v>
      </c>
    </row>
    <row r="23" spans="1:12" x14ac:dyDescent="0.15">
      <c r="B23" t="s">
        <v>59</v>
      </c>
      <c r="C23" t="s">
        <v>60</v>
      </c>
      <c r="D23" t="s">
        <v>61</v>
      </c>
      <c r="E23" t="s">
        <v>62</v>
      </c>
      <c r="F23" t="s">
        <v>63</v>
      </c>
      <c r="G23" t="s">
        <v>64</v>
      </c>
      <c r="H23" t="s">
        <v>65</v>
      </c>
      <c r="I23" t="s">
        <v>66</v>
      </c>
      <c r="J23" t="s">
        <v>67</v>
      </c>
      <c r="K23" t="s">
        <v>55</v>
      </c>
      <c r="L23" t="s">
        <v>56</v>
      </c>
    </row>
    <row r="24" spans="1:12" x14ac:dyDescent="0.15">
      <c r="C24" t="s">
        <v>69</v>
      </c>
      <c r="D24" t="s">
        <v>70</v>
      </c>
      <c r="E24" t="s">
        <v>71</v>
      </c>
      <c r="F24" t="s">
        <v>72</v>
      </c>
      <c r="G24" t="s">
        <v>73</v>
      </c>
      <c r="H24" t="s">
        <v>74</v>
      </c>
      <c r="I24" t="s">
        <v>75</v>
      </c>
      <c r="J24" t="s">
        <v>76</v>
      </c>
    </row>
    <row r="25" spans="1:12" x14ac:dyDescent="0.15">
      <c r="F25" t="s">
        <v>78</v>
      </c>
      <c r="G25" t="s">
        <v>79</v>
      </c>
    </row>
    <row r="32" spans="1:12" x14ac:dyDescent="0.15">
      <c r="A32" t="s">
        <v>83</v>
      </c>
      <c r="B32" t="s">
        <v>48</v>
      </c>
      <c r="C32" t="s">
        <v>49</v>
      </c>
      <c r="D32" t="s">
        <v>50</v>
      </c>
      <c r="E32" t="s">
        <v>2</v>
      </c>
      <c r="F32" t="s">
        <v>51</v>
      </c>
      <c r="G32" t="s">
        <v>30</v>
      </c>
      <c r="H32" t="s">
        <v>52</v>
      </c>
      <c r="I32" t="s">
        <v>53</v>
      </c>
      <c r="J32" t="s">
        <v>54</v>
      </c>
      <c r="K32" t="s">
        <v>55</v>
      </c>
    </row>
    <row r="33" spans="1:11" x14ac:dyDescent="0.15">
      <c r="B33" t="s">
        <v>59</v>
      </c>
      <c r="C33" t="s">
        <v>60</v>
      </c>
      <c r="D33" t="s">
        <v>61</v>
      </c>
      <c r="E33" t="s">
        <v>62</v>
      </c>
      <c r="F33" t="s">
        <v>63</v>
      </c>
      <c r="G33" t="s">
        <v>64</v>
      </c>
      <c r="H33" t="s">
        <v>65</v>
      </c>
      <c r="I33" t="s">
        <v>66</v>
      </c>
      <c r="J33" t="s">
        <v>67</v>
      </c>
      <c r="K33" t="s">
        <v>55</v>
      </c>
    </row>
    <row r="34" spans="1:11" x14ac:dyDescent="0.15">
      <c r="C34" t="s">
        <v>69</v>
      </c>
      <c r="D34" t="s">
        <v>70</v>
      </c>
      <c r="E34" t="s">
        <v>71</v>
      </c>
      <c r="F34" t="s">
        <v>72</v>
      </c>
      <c r="G34" t="s">
        <v>73</v>
      </c>
      <c r="H34" t="s">
        <v>74</v>
      </c>
      <c r="I34" t="s">
        <v>75</v>
      </c>
      <c r="J34" t="s">
        <v>76</v>
      </c>
    </row>
    <row r="35" spans="1:11" x14ac:dyDescent="0.15">
      <c r="F35" t="s">
        <v>78</v>
      </c>
      <c r="G35" t="s">
        <v>79</v>
      </c>
    </row>
    <row r="43" spans="1:11" x14ac:dyDescent="0.15">
      <c r="A43" t="s">
        <v>84</v>
      </c>
      <c r="B43" t="s">
        <v>48</v>
      </c>
      <c r="C43" t="s">
        <v>49</v>
      </c>
      <c r="D43" t="s">
        <v>50</v>
      </c>
      <c r="E43" t="s">
        <v>2</v>
      </c>
      <c r="F43" t="s">
        <v>51</v>
      </c>
      <c r="G43" t="s">
        <v>30</v>
      </c>
      <c r="H43" t="s">
        <v>52</v>
      </c>
      <c r="I43" t="s">
        <v>53</v>
      </c>
      <c r="J43" t="s">
        <v>54</v>
      </c>
    </row>
    <row r="44" spans="1:11" x14ac:dyDescent="0.15">
      <c r="B44" t="s">
        <v>59</v>
      </c>
      <c r="C44" t="s">
        <v>60</v>
      </c>
      <c r="D44" t="s">
        <v>61</v>
      </c>
      <c r="E44" t="s">
        <v>62</v>
      </c>
      <c r="F44" t="s">
        <v>63</v>
      </c>
      <c r="G44" t="s">
        <v>64</v>
      </c>
      <c r="H44" t="s">
        <v>65</v>
      </c>
      <c r="I44" t="s">
        <v>66</v>
      </c>
      <c r="J44" t="s">
        <v>67</v>
      </c>
    </row>
    <row r="45" spans="1:11" x14ac:dyDescent="0.15">
      <c r="C45" t="s">
        <v>69</v>
      </c>
      <c r="D45" t="s">
        <v>70</v>
      </c>
      <c r="E45" t="s">
        <v>71</v>
      </c>
      <c r="F45" t="s">
        <v>72</v>
      </c>
      <c r="G45" t="s">
        <v>73</v>
      </c>
      <c r="H45" t="s">
        <v>74</v>
      </c>
      <c r="I45" t="s">
        <v>75</v>
      </c>
      <c r="J45" t="s">
        <v>76</v>
      </c>
    </row>
    <row r="46" spans="1:11" x14ac:dyDescent="0.15">
      <c r="F46" t="s">
        <v>78</v>
      </c>
      <c r="G46" t="s">
        <v>79</v>
      </c>
    </row>
    <row r="53" spans="1:9" x14ac:dyDescent="0.15">
      <c r="A53" t="s">
        <v>85</v>
      </c>
      <c r="B53" t="s">
        <v>48</v>
      </c>
      <c r="C53" t="s">
        <v>49</v>
      </c>
      <c r="D53" t="s">
        <v>50</v>
      </c>
      <c r="E53" t="s">
        <v>2</v>
      </c>
      <c r="F53" t="s">
        <v>51</v>
      </c>
      <c r="G53" t="s">
        <v>30</v>
      </c>
      <c r="H53" t="s">
        <v>52</v>
      </c>
      <c r="I53" t="s">
        <v>53</v>
      </c>
    </row>
    <row r="54" spans="1:9" x14ac:dyDescent="0.15">
      <c r="B54" t="s">
        <v>59</v>
      </c>
      <c r="C54" t="s">
        <v>60</v>
      </c>
      <c r="D54" t="s">
        <v>61</v>
      </c>
      <c r="E54" t="s">
        <v>62</v>
      </c>
      <c r="F54" t="s">
        <v>63</v>
      </c>
      <c r="G54" t="s">
        <v>64</v>
      </c>
      <c r="H54" t="s">
        <v>65</v>
      </c>
      <c r="I54" t="s">
        <v>66</v>
      </c>
    </row>
    <row r="55" spans="1:9" x14ac:dyDescent="0.15">
      <c r="C55" t="s">
        <v>69</v>
      </c>
      <c r="D55" t="s">
        <v>70</v>
      </c>
      <c r="E55" t="s">
        <v>71</v>
      </c>
      <c r="F55" t="s">
        <v>72</v>
      </c>
      <c r="G55" t="s">
        <v>73</v>
      </c>
      <c r="H55" t="s">
        <v>74</v>
      </c>
      <c r="I55" t="s">
        <v>75</v>
      </c>
    </row>
    <row r="56" spans="1:9" x14ac:dyDescent="0.15">
      <c r="F56" t="s">
        <v>78</v>
      </c>
      <c r="G56" t="s">
        <v>79</v>
      </c>
    </row>
    <row r="63" spans="1:9" x14ac:dyDescent="0.15">
      <c r="A63" t="s">
        <v>86</v>
      </c>
      <c r="B63" t="s">
        <v>48</v>
      </c>
      <c r="C63" t="s">
        <v>49</v>
      </c>
      <c r="D63" t="s">
        <v>50</v>
      </c>
      <c r="E63" t="s">
        <v>2</v>
      </c>
      <c r="F63" t="s">
        <v>51</v>
      </c>
      <c r="G63" t="s">
        <v>30</v>
      </c>
      <c r="H63" t="s">
        <v>52</v>
      </c>
    </row>
    <row r="64" spans="1:9" x14ac:dyDescent="0.15">
      <c r="B64" t="s">
        <v>59</v>
      </c>
      <c r="C64" t="s">
        <v>60</v>
      </c>
      <c r="D64" t="s">
        <v>61</v>
      </c>
      <c r="E64" t="s">
        <v>62</v>
      </c>
      <c r="F64" t="s">
        <v>63</v>
      </c>
      <c r="G64" t="s">
        <v>64</v>
      </c>
      <c r="H64" t="s">
        <v>65</v>
      </c>
    </row>
    <row r="65" spans="3:8" x14ac:dyDescent="0.15">
      <c r="C65" t="s">
        <v>69</v>
      </c>
      <c r="D65" t="s">
        <v>70</v>
      </c>
      <c r="E65" t="s">
        <v>71</v>
      </c>
      <c r="F65" t="s">
        <v>72</v>
      </c>
      <c r="G65" t="s">
        <v>73</v>
      </c>
      <c r="H65" t="s">
        <v>74</v>
      </c>
    </row>
    <row r="66" spans="3:8" x14ac:dyDescent="0.15">
      <c r="F66" t="s">
        <v>78</v>
      </c>
      <c r="G66" t="s">
        <v>79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rviceClassification"/>
  <dimension ref="A1:C12"/>
  <sheetViews>
    <sheetView workbookViewId="0">
      <selection activeCell="C14" sqref="C14"/>
    </sheetView>
  </sheetViews>
  <sheetFormatPr defaultRowHeight="13.5" x14ac:dyDescent="0.15"/>
  <cols>
    <col min="1" max="1" width="20.25" style="12" customWidth="1"/>
    <col min="2" max="2" width="7.625" style="12" customWidth="1"/>
    <col min="3" max="3" width="10.75" style="12" customWidth="1"/>
    <col min="4" max="16384" width="9" style="12"/>
  </cols>
  <sheetData>
    <row r="1" spans="1:3" x14ac:dyDescent="0.15">
      <c r="A1" s="12" t="s">
        <v>27</v>
      </c>
      <c r="C1" s="18" t="s">
        <v>43</v>
      </c>
    </row>
    <row r="2" spans="1:3" x14ac:dyDescent="0.15">
      <c r="A2" s="12" t="s">
        <v>10</v>
      </c>
      <c r="C2" s="12" t="s">
        <v>34</v>
      </c>
    </row>
    <row r="3" spans="1:3" x14ac:dyDescent="0.15">
      <c r="A3" s="12" t="s">
        <v>19</v>
      </c>
      <c r="C3" s="12" t="s">
        <v>35</v>
      </c>
    </row>
    <row r="4" spans="1:3" x14ac:dyDescent="0.15">
      <c r="A4" s="12" t="s">
        <v>20</v>
      </c>
      <c r="C4" s="12" t="s">
        <v>36</v>
      </c>
    </row>
    <row r="5" spans="1:3" x14ac:dyDescent="0.15">
      <c r="A5" s="12" t="s">
        <v>21</v>
      </c>
      <c r="C5" s="12" t="s">
        <v>37</v>
      </c>
    </row>
    <row r="6" spans="1:3" x14ac:dyDescent="0.15">
      <c r="A6" s="12" t="s">
        <v>22</v>
      </c>
      <c r="C6" s="12" t="s">
        <v>38</v>
      </c>
    </row>
    <row r="7" spans="1:3" x14ac:dyDescent="0.15">
      <c r="A7" s="12" t="s">
        <v>23</v>
      </c>
      <c r="C7" s="12" t="s">
        <v>39</v>
      </c>
    </row>
    <row r="8" spans="1:3" x14ac:dyDescent="0.15">
      <c r="A8" s="12" t="s">
        <v>24</v>
      </c>
      <c r="C8" s="12" t="s">
        <v>40</v>
      </c>
    </row>
    <row r="9" spans="1:3" x14ac:dyDescent="0.15">
      <c r="A9" s="16" t="s">
        <v>31</v>
      </c>
      <c r="B9" s="16"/>
      <c r="C9" s="12" t="s">
        <v>41</v>
      </c>
    </row>
    <row r="10" spans="1:3" x14ac:dyDescent="0.15">
      <c r="A10" s="16" t="s">
        <v>32</v>
      </c>
      <c r="B10" s="16"/>
      <c r="C10" s="12" t="s">
        <v>42</v>
      </c>
    </row>
    <row r="11" spans="1:3" x14ac:dyDescent="0.15">
      <c r="A11" s="12" t="s">
        <v>25</v>
      </c>
    </row>
    <row r="12" spans="1:3" x14ac:dyDescent="0.15">
      <c r="A12" s="12" t="s">
        <v>26</v>
      </c>
    </row>
  </sheetData>
  <phoneticPr fontId="4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3A950-1AF8-4915-B748-715B45E72B5C}">
  <sheetPr codeName="SheetConfiguration"/>
  <dimension ref="A1:B2"/>
  <sheetViews>
    <sheetView workbookViewId="0">
      <selection activeCell="B3" sqref="B3"/>
    </sheetView>
  </sheetViews>
  <sheetFormatPr defaultRowHeight="25.5" x14ac:dyDescent="0.5"/>
  <cols>
    <col min="1" max="1" width="34.125" style="19" customWidth="1"/>
    <col min="2" max="2" width="66.375" style="19" customWidth="1"/>
    <col min="3" max="16384" width="9" style="19"/>
  </cols>
  <sheetData>
    <row r="1" spans="1:2" x14ac:dyDescent="0.5">
      <c r="A1" s="19" t="s">
        <v>46</v>
      </c>
      <c r="B1" s="19" t="s">
        <v>45</v>
      </c>
    </row>
    <row r="2" spans="1:2" x14ac:dyDescent="0.5">
      <c r="A2" s="19" t="s">
        <v>44</v>
      </c>
      <c r="B2" s="19" t="s">
        <v>88</v>
      </c>
    </row>
  </sheetData>
  <phoneticPr fontId="4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B3FD0-AD0F-4A7F-AB0A-C0A1666A98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実績入力シート</vt:lpstr>
      <vt:lpstr>項目分類表</vt:lpstr>
      <vt:lpstr>入力規則リスト</vt:lpstr>
      <vt:lpstr>設定</vt:lpstr>
      <vt:lpstr>実績入力シート!Print_Area</vt:lpstr>
      <vt:lpstr>システム</vt:lpstr>
      <vt:lpstr>会議</vt:lpstr>
      <vt:lpstr>外注管理</vt:lpstr>
      <vt:lpstr>監査対応</vt:lpstr>
      <vt:lpstr>教育</vt:lpstr>
      <vt:lpstr>現場対応</vt:lpstr>
      <vt:lpstr>事務処理</vt:lpstr>
      <vt:lpstr>生産管理</vt:lpstr>
      <vt:lpstr>生産技術</vt:lpstr>
      <vt:lpstr>他部署支援</vt:lpstr>
      <vt:lpstr>大分類</vt:lpstr>
      <vt:lpstr>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真司</dc:creator>
  <cp:lastModifiedBy>平野 耕右</cp:lastModifiedBy>
  <cp:lastPrinted>2023-03-14T06:28:34Z</cp:lastPrinted>
  <dcterms:created xsi:type="dcterms:W3CDTF">2006-09-16T00:00:00Z</dcterms:created>
  <dcterms:modified xsi:type="dcterms:W3CDTF">2023-03-14T06:28:37Z</dcterms:modified>
</cp:coreProperties>
</file>